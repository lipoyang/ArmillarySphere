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lipoy\Dropbox\develop\Kontengi\ArmillarySphere\hard\"/>
    </mc:Choice>
  </mc:AlternateContent>
  <xr:revisionPtr revIDLastSave="0" documentId="13_ncr:1_{FC5628B7-36FE-4B34-8716-E095F91D52D4}" xr6:coauthVersionLast="47" xr6:coauthVersionMax="47" xr10:uidLastSave="{00000000-0000-0000-0000-000000000000}"/>
  <bookViews>
    <workbookView xWindow="-120" yWindow="-16320" windowWidth="29040" windowHeight="15720" xr2:uid="{00000000-000D-0000-FFFF-FFFF00000000}"/>
  </bookViews>
  <sheets>
    <sheet name="部品表" sheetId="4" r:id="rId1"/>
    <sheet name="マイコンのピンピン配置" sheetId="2" r:id="rId2"/>
    <sheet name="モータドライバのピン配置" sheetId="3" r:id="rId3"/>
    <sheet name="コネクタのピン配置" sheetId="1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5" i="1" l="1"/>
  <c r="C7" i="3"/>
  <c r="C6" i="3"/>
  <c r="F2" i="3"/>
</calcChain>
</file>

<file path=xl/sharedStrings.xml><?xml version="1.0" encoding="utf-8"?>
<sst xmlns="http://schemas.openxmlformats.org/spreadsheetml/2006/main" count="124" uniqueCount="88">
  <si>
    <t>型番</t>
    <rPh sb="0" eb="2">
      <t>カタバン</t>
    </rPh>
    <phoneticPr fontId="1"/>
  </si>
  <si>
    <t>説明</t>
    <rPh sb="0" eb="2">
      <t>セツメイ</t>
    </rPh>
    <phoneticPr fontId="1"/>
  </si>
  <si>
    <t>マイコン</t>
    <phoneticPr fontId="1"/>
  </si>
  <si>
    <t>ステッピングモータドライバモジュール</t>
    <phoneticPr fontId="1"/>
  </si>
  <si>
    <t>個数</t>
    <rPh sb="0" eb="2">
      <t>コスウ</t>
    </rPh>
    <phoneticPr fontId="1"/>
  </si>
  <si>
    <t>ホールセンサ</t>
    <phoneticPr fontId="1"/>
  </si>
  <si>
    <t>LED</t>
    <phoneticPr fontId="1"/>
  </si>
  <si>
    <t>太陽の表示用LED</t>
    <rPh sb="0" eb="2">
      <t>タイヨウ</t>
    </rPh>
    <rPh sb="3" eb="5">
      <t>ヒョウジ</t>
    </rPh>
    <rPh sb="5" eb="6">
      <t>ヨウ</t>
    </rPh>
    <phoneticPr fontId="1"/>
  </si>
  <si>
    <t>スリップリング 12極</t>
    <rPh sb="10" eb="11">
      <t>キョク</t>
    </rPh>
    <phoneticPr fontId="1"/>
  </si>
  <si>
    <t>モータとホールセンサのケーブル用コネクタ</t>
    <rPh sb="15" eb="16">
      <t>ヨウ</t>
    </rPh>
    <phoneticPr fontId="1"/>
  </si>
  <si>
    <t>JST EH 4ピン</t>
    <phoneticPr fontId="1"/>
  </si>
  <si>
    <t>JST EH 2ピン</t>
    <phoneticPr fontId="1"/>
  </si>
  <si>
    <t>LEDのケーブル用コネクタ</t>
    <rPh sb="8" eb="9">
      <t>ヨウ</t>
    </rPh>
    <phoneticPr fontId="1"/>
  </si>
  <si>
    <t>電源安定用</t>
    <rPh sb="0" eb="2">
      <t>デンゲン</t>
    </rPh>
    <rPh sb="2" eb="5">
      <t>アンテイヨウ</t>
    </rPh>
    <phoneticPr fontId="1"/>
  </si>
  <si>
    <t>LEDの電流制限抵抗</t>
    <rPh sb="4" eb="6">
      <t>デンリュウ</t>
    </rPh>
    <rPh sb="6" eb="8">
      <t>セイゲン</t>
    </rPh>
    <rPh sb="8" eb="10">
      <t>テイコウ</t>
    </rPh>
    <phoneticPr fontId="1"/>
  </si>
  <si>
    <t>5V電源の衝突防止用ダイオード</t>
    <rPh sb="2" eb="4">
      <t>デンゲン</t>
    </rPh>
    <rPh sb="5" eb="9">
      <t>ショウトツボウシ</t>
    </rPh>
    <rPh sb="9" eb="10">
      <t>ヨウ</t>
    </rPh>
    <phoneticPr fontId="1"/>
  </si>
  <si>
    <t>LEDのオンオフ用デジトラ</t>
    <rPh sb="8" eb="9">
      <t>ヨウ</t>
    </rPh>
    <phoneticPr fontId="1"/>
  </si>
  <si>
    <t>XIAO nRF52840</t>
    <phoneticPr fontId="1"/>
  </si>
  <si>
    <t>Pololu DRV8825 モータドライバモジュール</t>
    <phoneticPr fontId="1"/>
  </si>
  <si>
    <t>24BYJ48 (12V)</t>
    <phoneticPr fontId="1"/>
  </si>
  <si>
    <t>2相ユニポーラ ステッピングモータ
ステップ角 = 5.625°、ギア比 = 1/64</t>
    <rPh sb="1" eb="2">
      <t>ソウ</t>
    </rPh>
    <phoneticPr fontId="1"/>
  </si>
  <si>
    <t>SK8552</t>
    <phoneticPr fontId="1"/>
  </si>
  <si>
    <t>SNM022A-12</t>
    <phoneticPr fontId="1"/>
  </si>
  <si>
    <t>橙色LED (汎用品)</t>
    <rPh sb="0" eb="2">
      <t>ダイダイイロ</t>
    </rPh>
    <rPh sb="7" eb="9">
      <t>ハンヨウ</t>
    </rPh>
    <rPh sb="9" eb="10">
      <t>ヒン</t>
    </rPh>
    <phoneticPr fontId="1"/>
  </si>
  <si>
    <t>ACアダプタ 12V 1.5A (汎用品)</t>
    <rPh sb="17" eb="20">
      <t>ハンヨウヒン</t>
    </rPh>
    <phoneticPr fontId="1"/>
  </si>
  <si>
    <t>電源用、DCプラグ φ2.1mm</t>
    <rPh sb="0" eb="2">
      <t>デンゲン</t>
    </rPh>
    <rPh sb="2" eb="3">
      <t>ヨウ</t>
    </rPh>
    <phoneticPr fontId="1"/>
  </si>
  <si>
    <t>ユニバーサル基板 Cタイプ (汎用品)</t>
    <rPh sb="15" eb="18">
      <t>ハンヨウヒン</t>
    </rPh>
    <phoneticPr fontId="1"/>
  </si>
  <si>
    <t>72×47mm ノンスルーホール</t>
    <phoneticPr fontId="1"/>
  </si>
  <si>
    <t>DCジャック φ2.1mm (汎用品)</t>
    <rPh sb="15" eb="18">
      <t>ハンヨウヒン</t>
    </rPh>
    <phoneticPr fontId="1"/>
  </si>
  <si>
    <t>電源用</t>
    <rPh sb="0" eb="2">
      <t>デンゲン</t>
    </rPh>
    <rPh sb="2" eb="3">
      <t>ヨウ</t>
    </rPh>
    <phoneticPr fontId="1"/>
  </si>
  <si>
    <t>100Ω抵抗 (汎用品)</t>
    <rPh sb="4" eb="6">
      <t>テイコウ</t>
    </rPh>
    <rPh sb="8" eb="11">
      <t>ハンヨウヒン</t>
    </rPh>
    <phoneticPr fontId="1"/>
  </si>
  <si>
    <t>ピン</t>
    <phoneticPr fontId="1"/>
  </si>
  <si>
    <t>接続先</t>
    <rPh sb="0" eb="3">
      <t>セツゾクサキ</t>
    </rPh>
    <phoneticPr fontId="1"/>
  </si>
  <si>
    <t>D0</t>
    <phoneticPr fontId="1"/>
  </si>
  <si>
    <t>D1</t>
    <phoneticPr fontId="1"/>
  </si>
  <si>
    <t>D2</t>
  </si>
  <si>
    <t>D3</t>
  </si>
  <si>
    <t>D4</t>
  </si>
  <si>
    <t>D5</t>
  </si>
  <si>
    <t>D6</t>
  </si>
  <si>
    <t>D7</t>
    <phoneticPr fontId="1"/>
  </si>
  <si>
    <t>D8</t>
    <phoneticPr fontId="1"/>
  </si>
  <si>
    <t>D10</t>
    <phoneticPr fontId="1"/>
  </si>
  <si>
    <t>D9</t>
    <phoneticPr fontId="1"/>
  </si>
  <si>
    <t>VBUS</t>
    <phoneticPr fontId="1"/>
  </si>
  <si>
    <t>GND</t>
    <phoneticPr fontId="1"/>
  </si>
  <si>
    <t>3.3V</t>
    <phoneticPr fontId="1"/>
  </si>
  <si>
    <t>5V</t>
    <phoneticPr fontId="1"/>
  </si>
  <si>
    <t>モータ1 DIR</t>
    <phoneticPr fontId="1"/>
  </si>
  <si>
    <t>モータ2 DIR</t>
    <phoneticPr fontId="1"/>
  </si>
  <si>
    <t>ホールセンサ1</t>
    <phoneticPr fontId="1"/>
  </si>
  <si>
    <t>ホールセンサ2</t>
  </si>
  <si>
    <t>ホールセンサ2</t>
    <phoneticPr fontId="1"/>
  </si>
  <si>
    <t>https://www.pololu.com/product/2133</t>
    <phoneticPr fontId="1"/>
  </si>
  <si>
    <t>参考</t>
    <rPh sb="0" eb="1">
      <t>サン</t>
    </rPh>
    <phoneticPr fontId="1"/>
  </si>
  <si>
    <t>https://wiki.seeedstudio.com/ja/XIAO_BLE/</t>
    <phoneticPr fontId="1"/>
  </si>
  <si>
    <t>参考</t>
    <rPh sb="0" eb="2">
      <t>サンコウ</t>
    </rPh>
    <phoneticPr fontId="1"/>
  </si>
  <si>
    <t>機能</t>
    <rPh sb="0" eb="2">
      <t>キノウ</t>
    </rPh>
    <phoneticPr fontId="1"/>
  </si>
  <si>
    <t>FAULT</t>
    <phoneticPr fontId="1"/>
  </si>
  <si>
    <t>未接続</t>
    <rPh sb="0" eb="3">
      <t>ミセツゾク</t>
    </rPh>
    <phoneticPr fontId="1"/>
  </si>
  <si>
    <t>A2</t>
    <phoneticPr fontId="1"/>
  </si>
  <si>
    <t>A1</t>
    <phoneticPr fontId="1"/>
  </si>
  <si>
    <t>B1</t>
    <phoneticPr fontId="1"/>
  </si>
  <si>
    <t>B2</t>
    <phoneticPr fontId="1"/>
  </si>
  <si>
    <t>VMOT</t>
    <phoneticPr fontId="1"/>
  </si>
  <si>
    <t>nENABLE</t>
    <phoneticPr fontId="1"/>
  </si>
  <si>
    <t>DIR</t>
    <phoneticPr fontId="1"/>
  </si>
  <si>
    <t>STEP</t>
    <phoneticPr fontId="1"/>
  </si>
  <si>
    <t>nSLEEP</t>
    <phoneticPr fontId="1"/>
  </si>
  <si>
    <t>nRESET</t>
    <phoneticPr fontId="1"/>
  </si>
  <si>
    <t>MODE2</t>
  </si>
  <si>
    <t>MODE1</t>
  </si>
  <si>
    <t>MODE0</t>
    <phoneticPr fontId="1"/>
  </si>
  <si>
    <t>未接続</t>
    <phoneticPr fontId="1"/>
  </si>
  <si>
    <t>モータ1 STEP</t>
    <phoneticPr fontId="1"/>
  </si>
  <si>
    <t>モータ2 STEP</t>
    <phoneticPr fontId="1"/>
  </si>
  <si>
    <t>モータ</t>
    <phoneticPr fontId="1"/>
  </si>
  <si>
    <t>信号名</t>
    <rPh sb="0" eb="3">
      <t>シンゴウメイ</t>
    </rPh>
    <phoneticPr fontId="1"/>
  </si>
  <si>
    <t>■ モータ</t>
    <phoneticPr fontId="1"/>
  </si>
  <si>
    <t>■ LED</t>
    <phoneticPr fontId="1"/>
  </si>
  <si>
    <t>■ ホールセンサ</t>
    <phoneticPr fontId="1"/>
  </si>
  <si>
    <t>アノード</t>
    <phoneticPr fontId="1"/>
  </si>
  <si>
    <t>カソード</t>
    <phoneticPr fontId="1"/>
  </si>
  <si>
    <t>ショットキーバリアダイオード SS2040FL</t>
    <phoneticPr fontId="1"/>
  </si>
  <si>
    <t>電解コンデンサ 33uF 10V (汎用品)</t>
    <rPh sb="0" eb="2">
      <t>デンカイ</t>
    </rPh>
    <rPh sb="18" eb="21">
      <t>ハンヨウヒン</t>
    </rPh>
    <phoneticPr fontId="1"/>
  </si>
  <si>
    <t>BP5293-50</t>
    <phoneticPr fontId="1"/>
  </si>
  <si>
    <t>DCDCコンバータ 5V 1A</t>
    <phoneticPr fontId="1"/>
  </si>
  <si>
    <t>NPNデジトラ DTC014EEB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</si>
</sst>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  <font>
      <u/>
      <sz val="11"/>
      <color theme="10"/>
      <name val="Yu Gothic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5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2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vertical="center" wrapText="1"/>
    </xf>
    <xf numFmtId="0" fontId="0" fillId="0" borderId="0" xfId="0" applyAlignment="1">
      <alignment vertical="center"/>
    </xf>
    <xf numFmtId="0" fontId="0" fillId="2" borderId="3" xfId="0" applyFill="1" applyBorder="1"/>
    <xf numFmtId="0" fontId="0" fillId="0" borderId="3" xfId="0" applyBorder="1"/>
    <xf numFmtId="0" fontId="0" fillId="2" borderId="2" xfId="0" applyFill="1" applyBorder="1"/>
    <xf numFmtId="0" fontId="0" fillId="0" borderId="2" xfId="0" applyBorder="1"/>
    <xf numFmtId="0" fontId="2" fillId="0" borderId="0" xfId="1"/>
    <xf numFmtId="0" fontId="2" fillId="0" borderId="0" xfId="1" applyFill="1" applyBorder="1"/>
    <xf numFmtId="0" fontId="0" fillId="2" borderId="3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0" borderId="5" xfId="0" applyBorder="1"/>
    <xf numFmtId="0" fontId="0" fillId="2" borderId="5" xfId="0" applyFill="1" applyBorder="1"/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238125</xdr:colOff>
      <xdr:row>1</xdr:row>
      <xdr:rowOff>123825</xdr:rowOff>
    </xdr:from>
    <xdr:to>
      <xdr:col>19</xdr:col>
      <xdr:colOff>141251</xdr:colOff>
      <xdr:row>25</xdr:row>
      <xdr:rowOff>120650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6F911DDA-C9CF-147E-7818-D9223670A2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05325" y="1724025"/>
          <a:ext cx="9761501" cy="54864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200026</xdr:colOff>
      <xdr:row>2</xdr:row>
      <xdr:rowOff>130175</xdr:rowOff>
    </xdr:from>
    <xdr:to>
      <xdr:col>15</xdr:col>
      <xdr:colOff>485776</xdr:colOff>
      <xdr:row>13</xdr:row>
      <xdr:rowOff>178158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D69D287D-B22F-AE8D-30E6-2A7B5AB267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43976" y="587375"/>
          <a:ext cx="5540375" cy="256575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wiki.seeedstudio.com/ja/XIAO_BLE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hyperlink" Target="https://www.pololu.com/product/213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C02FE2-A17A-411D-ABFF-922ED981C218}">
  <dimension ref="A1:C17"/>
  <sheetViews>
    <sheetView tabSelected="1" workbookViewId="0"/>
  </sheetViews>
  <sheetFormatPr defaultRowHeight="18"/>
  <cols>
    <col min="1" max="1" width="39.83203125" style="10" customWidth="1"/>
    <col min="2" max="2" width="37.9140625" style="10" customWidth="1"/>
    <col min="3" max="3" width="6.1640625" style="7" customWidth="1"/>
  </cols>
  <sheetData>
    <row r="1" spans="1:3">
      <c r="A1" s="5" t="s">
        <v>0</v>
      </c>
      <c r="B1" s="5" t="s">
        <v>1</v>
      </c>
      <c r="C1" s="5" t="s">
        <v>4</v>
      </c>
    </row>
    <row r="2" spans="1:3">
      <c r="A2" s="8" t="s">
        <v>17</v>
      </c>
      <c r="B2" s="8" t="s">
        <v>2</v>
      </c>
      <c r="C2" s="6">
        <v>1</v>
      </c>
    </row>
    <row r="3" spans="1:3">
      <c r="A3" s="8" t="s">
        <v>18</v>
      </c>
      <c r="B3" s="8" t="s">
        <v>3</v>
      </c>
      <c r="C3" s="6">
        <v>2</v>
      </c>
    </row>
    <row r="4" spans="1:3" ht="36">
      <c r="A4" s="8" t="s">
        <v>19</v>
      </c>
      <c r="B4" s="9" t="s">
        <v>20</v>
      </c>
      <c r="C4" s="6">
        <v>2</v>
      </c>
    </row>
    <row r="5" spans="1:3">
      <c r="A5" s="8" t="s">
        <v>21</v>
      </c>
      <c r="B5" s="8" t="s">
        <v>5</v>
      </c>
      <c r="C5" s="6">
        <v>2</v>
      </c>
    </row>
    <row r="6" spans="1:3">
      <c r="A6" s="8" t="s">
        <v>23</v>
      </c>
      <c r="B6" s="8" t="s">
        <v>7</v>
      </c>
      <c r="C6" s="6">
        <v>1</v>
      </c>
    </row>
    <row r="7" spans="1:3">
      <c r="A7" s="8" t="s">
        <v>22</v>
      </c>
      <c r="B7" s="8" t="s">
        <v>8</v>
      </c>
      <c r="C7" s="6">
        <v>1</v>
      </c>
    </row>
    <row r="8" spans="1:3">
      <c r="A8" s="8" t="s">
        <v>24</v>
      </c>
      <c r="B8" s="8" t="s">
        <v>25</v>
      </c>
      <c r="C8" s="6">
        <v>1</v>
      </c>
    </row>
    <row r="9" spans="1:3">
      <c r="A9" s="8" t="s">
        <v>26</v>
      </c>
      <c r="B9" s="8" t="s">
        <v>27</v>
      </c>
      <c r="C9" s="6">
        <v>1</v>
      </c>
    </row>
    <row r="10" spans="1:3">
      <c r="A10" s="8" t="s">
        <v>10</v>
      </c>
      <c r="B10" s="8" t="s">
        <v>9</v>
      </c>
      <c r="C10" s="6">
        <v>3</v>
      </c>
    </row>
    <row r="11" spans="1:3">
      <c r="A11" s="8" t="s">
        <v>11</v>
      </c>
      <c r="B11" s="8" t="s">
        <v>12</v>
      </c>
      <c r="C11" s="6">
        <v>1</v>
      </c>
    </row>
    <row r="12" spans="1:3">
      <c r="A12" s="8" t="s">
        <v>28</v>
      </c>
      <c r="B12" s="8" t="s">
        <v>29</v>
      </c>
      <c r="C12" s="6">
        <v>1</v>
      </c>
    </row>
    <row r="13" spans="1:3">
      <c r="A13" s="8" t="s">
        <v>85</v>
      </c>
      <c r="B13" s="8" t="s">
        <v>86</v>
      </c>
      <c r="C13" s="6">
        <v>1</v>
      </c>
    </row>
    <row r="14" spans="1:3">
      <c r="A14" s="8" t="s">
        <v>84</v>
      </c>
      <c r="B14" s="8" t="s">
        <v>13</v>
      </c>
      <c r="C14" s="6">
        <v>1</v>
      </c>
    </row>
    <row r="15" spans="1:3">
      <c r="A15" s="8" t="s">
        <v>83</v>
      </c>
      <c r="B15" s="8" t="s">
        <v>15</v>
      </c>
      <c r="C15" s="6">
        <v>1</v>
      </c>
    </row>
    <row r="16" spans="1:3">
      <c r="A16" s="8" t="s">
        <v>87</v>
      </c>
      <c r="B16" s="8" t="s">
        <v>16</v>
      </c>
      <c r="C16" s="6">
        <v>1</v>
      </c>
    </row>
    <row r="17" spans="1:3">
      <c r="A17" s="8" t="s">
        <v>30</v>
      </c>
      <c r="B17" s="8" t="s">
        <v>14</v>
      </c>
      <c r="C17" s="6">
        <v>1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1371DF-331D-4A12-8788-744CD64E0AF7}">
  <dimension ref="A1:G8"/>
  <sheetViews>
    <sheetView workbookViewId="0"/>
  </sheetViews>
  <sheetFormatPr defaultRowHeight="18"/>
  <cols>
    <col min="2" max="2" width="19.6640625" customWidth="1"/>
    <col min="4" max="4" width="19.1640625" customWidth="1"/>
  </cols>
  <sheetData>
    <row r="1" spans="1:7">
      <c r="A1" s="3" t="s">
        <v>31</v>
      </c>
      <c r="B1" s="17" t="s">
        <v>32</v>
      </c>
      <c r="C1" s="18" t="s">
        <v>31</v>
      </c>
      <c r="D1" s="3" t="s">
        <v>32</v>
      </c>
      <c r="F1" t="s">
        <v>54</v>
      </c>
      <c r="G1" s="16" t="s">
        <v>55</v>
      </c>
    </row>
    <row r="2" spans="1:7">
      <c r="A2" s="1" t="s">
        <v>33</v>
      </c>
      <c r="B2" s="12" t="s">
        <v>48</v>
      </c>
      <c r="C2" s="14" t="s">
        <v>44</v>
      </c>
      <c r="D2" s="1" t="s">
        <v>47</v>
      </c>
    </row>
    <row r="3" spans="1:7">
      <c r="A3" s="1" t="s">
        <v>34</v>
      </c>
      <c r="B3" s="12" t="s">
        <v>74</v>
      </c>
      <c r="C3" s="14" t="s">
        <v>45</v>
      </c>
      <c r="D3" s="1" t="s">
        <v>45</v>
      </c>
    </row>
    <row r="4" spans="1:7">
      <c r="A4" s="1" t="s">
        <v>35</v>
      </c>
      <c r="B4" s="12" t="s">
        <v>49</v>
      </c>
      <c r="C4" s="14" t="s">
        <v>46</v>
      </c>
      <c r="D4" s="1" t="s">
        <v>46</v>
      </c>
    </row>
    <row r="5" spans="1:7">
      <c r="A5" s="1" t="s">
        <v>36</v>
      </c>
      <c r="B5" s="12" t="s">
        <v>75</v>
      </c>
      <c r="C5" s="14" t="s">
        <v>42</v>
      </c>
      <c r="D5" s="1" t="s">
        <v>52</v>
      </c>
    </row>
    <row r="6" spans="1:7">
      <c r="A6" s="2" t="s">
        <v>37</v>
      </c>
      <c r="B6" s="11" t="s">
        <v>59</v>
      </c>
      <c r="C6" s="14" t="s">
        <v>43</v>
      </c>
      <c r="D6" s="1" t="s">
        <v>50</v>
      </c>
    </row>
    <row r="7" spans="1:7">
      <c r="A7" s="2" t="s">
        <v>38</v>
      </c>
      <c r="B7" s="11" t="s">
        <v>59</v>
      </c>
      <c r="C7" s="14" t="s">
        <v>41</v>
      </c>
      <c r="D7" s="1" t="s">
        <v>6</v>
      </c>
    </row>
    <row r="8" spans="1:7">
      <c r="A8" s="2" t="s">
        <v>39</v>
      </c>
      <c r="B8" s="11" t="s">
        <v>59</v>
      </c>
      <c r="C8" s="13" t="s">
        <v>40</v>
      </c>
      <c r="D8" s="2" t="s">
        <v>59</v>
      </c>
    </row>
  </sheetData>
  <phoneticPr fontId="1"/>
  <hyperlinks>
    <hyperlink ref="G1" r:id="rId1" xr:uid="{85F37A1D-422D-4B5D-962F-620F8D790ABD}"/>
  </hyperlinks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0CC5BE-F457-461A-B635-A2075AB4DED2}">
  <dimension ref="A1:I9"/>
  <sheetViews>
    <sheetView workbookViewId="0"/>
  </sheetViews>
  <sheetFormatPr defaultRowHeight="18"/>
  <cols>
    <col min="2" max="2" width="10.83203125" customWidth="1"/>
    <col min="3" max="3" width="19.1640625" customWidth="1"/>
    <col min="5" max="5" width="10.9140625" customWidth="1"/>
    <col min="6" max="6" width="22.08203125" customWidth="1"/>
  </cols>
  <sheetData>
    <row r="1" spans="1:9">
      <c r="A1" s="3" t="s">
        <v>31</v>
      </c>
      <c r="B1" s="17" t="s">
        <v>57</v>
      </c>
      <c r="C1" s="22" t="s">
        <v>32</v>
      </c>
      <c r="D1" s="20" t="s">
        <v>31</v>
      </c>
      <c r="E1" s="20" t="s">
        <v>57</v>
      </c>
      <c r="F1" s="3" t="s">
        <v>32</v>
      </c>
      <c r="H1" t="s">
        <v>56</v>
      </c>
      <c r="I1" s="15" t="s">
        <v>53</v>
      </c>
    </row>
    <row r="2" spans="1:9">
      <c r="A2" s="4">
        <v>8</v>
      </c>
      <c r="B2" s="4" t="s">
        <v>65</v>
      </c>
      <c r="C2" s="23" t="s">
        <v>45</v>
      </c>
      <c r="D2" s="21">
        <v>1</v>
      </c>
      <c r="E2" s="19" t="s">
        <v>64</v>
      </c>
      <c r="F2" s="1" t="str">
        <f>"+12V"</f>
        <v>+12V</v>
      </c>
    </row>
    <row r="3" spans="1:9">
      <c r="A3" s="3">
        <v>7</v>
      </c>
      <c r="B3" s="3" t="s">
        <v>72</v>
      </c>
      <c r="C3" s="24" t="s">
        <v>73</v>
      </c>
      <c r="D3" s="21">
        <v>2</v>
      </c>
      <c r="E3" s="19" t="s">
        <v>45</v>
      </c>
      <c r="F3" s="1" t="s">
        <v>45</v>
      </c>
    </row>
    <row r="4" spans="1:9">
      <c r="A4" s="3">
        <v>6</v>
      </c>
      <c r="B4" s="3" t="s">
        <v>71</v>
      </c>
      <c r="C4" s="24" t="s">
        <v>73</v>
      </c>
      <c r="D4" s="21">
        <v>3</v>
      </c>
      <c r="E4" s="19" t="s">
        <v>63</v>
      </c>
      <c r="F4" s="1" t="s">
        <v>76</v>
      </c>
    </row>
    <row r="5" spans="1:9">
      <c r="A5" s="3">
        <v>5</v>
      </c>
      <c r="B5" s="3" t="s">
        <v>70</v>
      </c>
      <c r="C5" s="24" t="s">
        <v>73</v>
      </c>
      <c r="D5" s="21">
        <v>4</v>
      </c>
      <c r="E5" s="19" t="s">
        <v>62</v>
      </c>
      <c r="F5" s="1" t="s">
        <v>76</v>
      </c>
    </row>
    <row r="6" spans="1:9">
      <c r="A6" s="4">
        <v>4</v>
      </c>
      <c r="B6" s="4" t="s">
        <v>69</v>
      </c>
      <c r="C6" s="23" t="str">
        <f>"+3.3V"</f>
        <v>+3.3V</v>
      </c>
      <c r="D6" s="21">
        <v>5</v>
      </c>
      <c r="E6" s="19" t="s">
        <v>61</v>
      </c>
      <c r="F6" s="1" t="s">
        <v>76</v>
      </c>
    </row>
    <row r="7" spans="1:9">
      <c r="A7" s="4">
        <v>3</v>
      </c>
      <c r="B7" s="4" t="s">
        <v>68</v>
      </c>
      <c r="C7" s="23" t="str">
        <f>"+3.3V"</f>
        <v>+3.3V</v>
      </c>
      <c r="D7" s="21">
        <v>6</v>
      </c>
      <c r="E7" s="19" t="s">
        <v>60</v>
      </c>
      <c r="F7" s="1" t="s">
        <v>76</v>
      </c>
    </row>
    <row r="8" spans="1:9">
      <c r="A8" s="4">
        <v>2</v>
      </c>
      <c r="B8" s="4" t="s">
        <v>67</v>
      </c>
      <c r="C8" s="23" t="s">
        <v>2</v>
      </c>
      <c r="D8" s="20">
        <v>7</v>
      </c>
      <c r="E8" s="17" t="s">
        <v>58</v>
      </c>
      <c r="F8" s="2" t="s">
        <v>59</v>
      </c>
    </row>
    <row r="9" spans="1:9">
      <c r="A9" s="4">
        <v>1</v>
      </c>
      <c r="B9" s="4" t="s">
        <v>66</v>
      </c>
      <c r="C9" s="23" t="s">
        <v>2</v>
      </c>
      <c r="D9" s="21">
        <v>8</v>
      </c>
      <c r="E9" s="19" t="s">
        <v>45</v>
      </c>
      <c r="F9" s="1" t="s">
        <v>45</v>
      </c>
    </row>
  </sheetData>
  <phoneticPr fontId="1"/>
  <hyperlinks>
    <hyperlink ref="I1" r:id="rId1" xr:uid="{51264991-D6F4-4FC5-A7C9-8822C93DA607}"/>
  </hyperlinks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8"/>
  <sheetViews>
    <sheetView workbookViewId="0"/>
  </sheetViews>
  <sheetFormatPr defaultRowHeight="18"/>
  <cols>
    <col min="2" max="2" width="19.83203125" customWidth="1"/>
  </cols>
  <sheetData>
    <row r="1" spans="1:2">
      <c r="A1" t="s">
        <v>78</v>
      </c>
    </row>
    <row r="2" spans="1:2">
      <c r="A2" s="3" t="s">
        <v>31</v>
      </c>
      <c r="B2" s="3" t="s">
        <v>77</v>
      </c>
    </row>
    <row r="3" spans="1:2">
      <c r="A3" s="4">
        <v>1</v>
      </c>
      <c r="B3" s="4" t="s">
        <v>63</v>
      </c>
    </row>
    <row r="4" spans="1:2">
      <c r="A4" s="4">
        <v>2</v>
      </c>
      <c r="B4" s="4" t="s">
        <v>62</v>
      </c>
    </row>
    <row r="5" spans="1:2">
      <c r="A5" s="4">
        <v>3</v>
      </c>
      <c r="B5" s="4" t="s">
        <v>61</v>
      </c>
    </row>
    <row r="6" spans="1:2">
      <c r="A6" s="4">
        <v>4</v>
      </c>
      <c r="B6" s="4" t="s">
        <v>60</v>
      </c>
    </row>
    <row r="8" spans="1:2">
      <c r="A8" t="s">
        <v>79</v>
      </c>
    </row>
    <row r="9" spans="1:2">
      <c r="A9" s="3" t="s">
        <v>31</v>
      </c>
      <c r="B9" s="3" t="s">
        <v>77</v>
      </c>
    </row>
    <row r="10" spans="1:2">
      <c r="A10" s="4">
        <v>1</v>
      </c>
      <c r="B10" s="4" t="s">
        <v>81</v>
      </c>
    </row>
    <row r="11" spans="1:2">
      <c r="A11" s="4">
        <v>2</v>
      </c>
      <c r="B11" s="4" t="s">
        <v>82</v>
      </c>
    </row>
    <row r="13" spans="1:2">
      <c r="A13" t="s">
        <v>80</v>
      </c>
    </row>
    <row r="14" spans="1:2">
      <c r="A14" s="3" t="s">
        <v>31</v>
      </c>
      <c r="B14" s="3" t="s">
        <v>77</v>
      </c>
    </row>
    <row r="15" spans="1:2">
      <c r="A15" s="4">
        <v>1</v>
      </c>
      <c r="B15" s="4" t="str">
        <f>"+3.3V"</f>
        <v>+3.3V</v>
      </c>
    </row>
    <row r="16" spans="1:2">
      <c r="A16" s="4">
        <v>2</v>
      </c>
      <c r="B16" s="4" t="s">
        <v>50</v>
      </c>
    </row>
    <row r="17" spans="1:2">
      <c r="A17" s="4">
        <v>3</v>
      </c>
      <c r="B17" s="4" t="s">
        <v>51</v>
      </c>
    </row>
    <row r="18" spans="1:2">
      <c r="A18" s="4">
        <v>4</v>
      </c>
      <c r="B18" s="4" t="s">
        <v>45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部品表</vt:lpstr>
      <vt:lpstr>マイコンのピンピン配置</vt:lpstr>
      <vt:lpstr>モータドライバのピン配置</vt:lpstr>
      <vt:lpstr>コネクタのピン配置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西村備山</dc:creator>
  <cp:lastModifiedBy>備山 西村</cp:lastModifiedBy>
  <dcterms:created xsi:type="dcterms:W3CDTF">2015-06-05T18:19:34Z</dcterms:created>
  <dcterms:modified xsi:type="dcterms:W3CDTF">2026-06-09T04:20:12Z</dcterms:modified>
</cp:coreProperties>
</file>